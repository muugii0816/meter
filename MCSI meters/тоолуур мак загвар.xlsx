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Ашиглалтын удирдлагын газар\master data\Ухаалаг тоолуур\Тоолуурын систем\MCSI meters\"/>
    </mc:Choice>
  </mc:AlternateContent>
  <xr:revisionPtr revIDLastSave="0" documentId="13_ncr:1_{D66AAE27-C9CB-4BF4-A427-071CF2BC5E95}" xr6:coauthVersionLast="47" xr6:coauthVersionMax="47" xr10:uidLastSave="{00000000-0000-0000-0000-000000000000}"/>
  <bookViews>
    <workbookView xWindow="28680" yWindow="-120" windowWidth="29040" windowHeight="15720" tabRatio="818" xr2:uid="{00000000-000D-0000-FFFF-FFFF00000000}"/>
  </bookViews>
  <sheets>
    <sheet name="Meters" sheetId="2" r:id="rId1"/>
  </sheets>
  <definedNames>
    <definedName name="_xlnm._FilterDatabase" localSheetId="0" hidden="1">Meters!$A$1:$T$54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13" i="2"/>
  <c r="F3" i="2"/>
  <c r="F5" i="2"/>
  <c r="F6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2" i="2"/>
  <c r="F54" i="2" l="1"/>
</calcChain>
</file>

<file path=xl/sharedStrings.xml><?xml version="1.0" encoding="utf-8"?>
<sst xmlns="http://schemas.openxmlformats.org/spreadsheetml/2006/main" count="206" uniqueCount="110">
  <si>
    <t>Төрөл</t>
  </si>
  <si>
    <t>Марк</t>
  </si>
  <si>
    <t>C2000</t>
  </si>
  <si>
    <t>DDS286</t>
  </si>
  <si>
    <t>DDS26</t>
  </si>
  <si>
    <t>DDSF36A</t>
  </si>
  <si>
    <t>DDS155</t>
  </si>
  <si>
    <t>DDSY283SR</t>
  </si>
  <si>
    <t>DDS226</t>
  </si>
  <si>
    <t>LGG100</t>
  </si>
  <si>
    <t>CHS160</t>
  </si>
  <si>
    <t>DDS 26</t>
  </si>
  <si>
    <t>DDS285</t>
  </si>
  <si>
    <t xml:space="preserve">DDSD285 </t>
  </si>
  <si>
    <t>DТSD22</t>
  </si>
  <si>
    <t>A1140-RAL-S-4T</t>
  </si>
  <si>
    <t>DTS27</t>
  </si>
  <si>
    <t>DTSD545S</t>
  </si>
  <si>
    <t>DTS 27A</t>
  </si>
  <si>
    <t>A1840-RАL-S-4T</t>
  </si>
  <si>
    <t>DTSD111</t>
  </si>
  <si>
    <t>хоосон</t>
  </si>
  <si>
    <t>ЦЭ6803ВМ</t>
  </si>
  <si>
    <t>DTS122</t>
  </si>
  <si>
    <t>A1802RAL-P4G-DW-3</t>
  </si>
  <si>
    <t>IES62053-21DTS122</t>
  </si>
  <si>
    <t>DDS122</t>
  </si>
  <si>
    <t>ЦЭ68038</t>
  </si>
  <si>
    <t xml:space="preserve">A1140-10-RAL-BW-4T </t>
  </si>
  <si>
    <t>А1140RAL-SW-4T</t>
  </si>
  <si>
    <t>A1805RL-P4G-DW-3</t>
  </si>
  <si>
    <t>P2000-D</t>
  </si>
  <si>
    <t>А1140RAL-S-4T</t>
  </si>
  <si>
    <t>CHS 330</t>
  </si>
  <si>
    <t>DDSF217</t>
  </si>
  <si>
    <t>СЕ303</t>
  </si>
  <si>
    <t>P2000-T</t>
  </si>
  <si>
    <t>DTS27A</t>
  </si>
  <si>
    <t>DDS22</t>
  </si>
  <si>
    <t>DTZY666-Z</t>
  </si>
  <si>
    <t>DDSF22 (60A)</t>
  </si>
  <si>
    <t>ITZ</t>
  </si>
  <si>
    <t>DTZY341</t>
  </si>
  <si>
    <t>DDS3</t>
  </si>
  <si>
    <t>IEC 62053-21</t>
  </si>
  <si>
    <t>DTS169</t>
  </si>
  <si>
    <t>DDSF22</t>
  </si>
  <si>
    <t>DDSD545S</t>
  </si>
  <si>
    <t>DDS28</t>
  </si>
  <si>
    <t>DDSF3666</t>
  </si>
  <si>
    <t>DDS-5558</t>
  </si>
  <si>
    <t>DTS541</t>
  </si>
  <si>
    <t>A1140-RAL-SW-4T</t>
  </si>
  <si>
    <t>DDS169</t>
  </si>
  <si>
    <t>Тоо ширхэг</t>
  </si>
  <si>
    <t xml:space="preserve">НИЙТ </t>
  </si>
  <si>
    <t>Солих</t>
  </si>
  <si>
    <t>Цэций хороолол</t>
  </si>
  <si>
    <t>Уурхайчин хороолол</t>
  </si>
  <si>
    <t>DDSD285</t>
  </si>
  <si>
    <t>Д/д</t>
  </si>
  <si>
    <t>Тоолуурын төрөл</t>
  </si>
  <si>
    <t>Мэдээлэл дамжуулалт</t>
  </si>
  <si>
    <t>Фаз</t>
  </si>
  <si>
    <t>Ухаалаг тоолуур</t>
  </si>
  <si>
    <t>Стандарт</t>
  </si>
  <si>
    <t>IEC 62053-21, IEC 62052-11, EN 50470</t>
  </si>
  <si>
    <t>Тодруулах</t>
  </si>
  <si>
    <t>тодорхойгүй</t>
  </si>
  <si>
    <t>Загвар</t>
  </si>
  <si>
    <t>Үйлдвэрлэгч</t>
  </si>
  <si>
    <t>1 фаз электрон</t>
  </si>
  <si>
    <t>1 фаз prepaid</t>
  </si>
  <si>
    <t>Holley</t>
  </si>
  <si>
    <t>1 фаз ухаалаг prepaid</t>
  </si>
  <si>
    <t>1 фаз</t>
  </si>
  <si>
    <t>CHINT / OEM</t>
  </si>
  <si>
    <t>1 фаз олон тарифтай</t>
  </si>
  <si>
    <t>DTSD22</t>
  </si>
  <si>
    <t>3 фаз</t>
  </si>
  <si>
    <t>3 фаз AMR</t>
  </si>
  <si>
    <t xml:space="preserve">3 фаз Smart Meter </t>
  </si>
  <si>
    <t>A1840-RAL-S-4T</t>
  </si>
  <si>
    <t>Elster</t>
  </si>
  <si>
    <t>3 фаз Smart</t>
  </si>
  <si>
    <t>Energomera</t>
  </si>
  <si>
    <t>IES62053-21 DTS122</t>
  </si>
  <si>
    <t>A1140-10-RAL-BW-4T</t>
  </si>
  <si>
    <t>A1140RAL-SW-4T</t>
  </si>
  <si>
    <t>CHS330</t>
  </si>
  <si>
    <t>1 фаз Smart</t>
  </si>
  <si>
    <t>Microstar C2000 smart meter</t>
  </si>
  <si>
    <t>IEC62053-21</t>
  </si>
  <si>
    <t xml:space="preserve">Төрөл болон үйлдвэрчлэгч тодруулах </t>
  </si>
  <si>
    <t>HES-тэй эсэх</t>
  </si>
  <si>
    <t xml:space="preserve">Хэдэн оных </t>
  </si>
  <si>
    <t>Борлуулалтын тоолуурын загвар шалгах, тоолуурын мэдээлэл</t>
  </si>
  <si>
    <t>Mark</t>
  </si>
  <si>
    <t>Мэдээлэл</t>
  </si>
  <si>
    <t>Хэдэн онд авсан</t>
  </si>
  <si>
    <t>Хаанаас авсан</t>
  </si>
  <si>
    <t>Хаана хаана байгаа</t>
  </si>
  <si>
    <t>Эрчим Сүлжээ</t>
  </si>
  <si>
    <t>ENT</t>
  </si>
  <si>
    <t>Measurement</t>
  </si>
  <si>
    <t>Wanlong Electron Science technology</t>
  </si>
  <si>
    <t>Star Instrument</t>
  </si>
  <si>
    <t>HES байхгүй</t>
  </si>
  <si>
    <t>ENT, Energy Technology Center</t>
  </si>
  <si>
    <t>Shenzhen Haoningda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</si>
</sst>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2" xfId="1" xr:uid="{2475E9BD-025D-4333-A34F-69328B1960C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AAE8-DB7F-4D51-B5A6-5059F3E461D3}">
  <sheetPr>
    <tabColor theme="5" tint="-0.499984740745262"/>
  </sheetPr>
  <dimension ref="A1:T61"/>
  <sheetViews>
    <sheetView tabSelected="1" zoomScale="115" zoomScaleNormal="115" workbookViewId="0">
      <selection activeCell="F14" sqref="F14"/>
    </sheetView>
  </sheetViews>
  <sheetFormatPr defaultRowHeight="15.6" x14ac:dyDescent="0.3"/>
  <cols>
    <col min="1" max="1" width="9.19921875" style="3" customWidth="1"/>
    <col min="2" max="2" width="19.69921875" style="13" customWidth="1"/>
    <col min="3" max="3" width="25.09765625" style="13" hidden="1" customWidth="1"/>
    <col min="4" max="4" width="40.69921875" style="3" customWidth="1"/>
    <col min="5" max="5" width="24.296875" style="3" hidden="1" customWidth="1"/>
    <col min="6" max="6" width="14" style="3" customWidth="1"/>
    <col min="7" max="7" width="21.8984375" style="3" customWidth="1"/>
    <col min="8" max="8" width="30.296875" style="3" customWidth="1"/>
    <col min="9" max="10" width="26.5" style="3" customWidth="1"/>
    <col min="11" max="12" width="21.296875" style="3" customWidth="1"/>
    <col min="13" max="13" width="22.19921875" style="3" customWidth="1"/>
    <col min="14" max="14" width="11.69921875" style="3" customWidth="1"/>
    <col min="15" max="15" width="20.796875" style="3" customWidth="1"/>
    <col min="16" max="16" width="36.19921875" style="3" customWidth="1"/>
    <col min="17" max="17" width="25.8984375" style="3" customWidth="1"/>
    <col min="18" max="19" width="22.69921875" style="3" customWidth="1"/>
    <col min="20" max="20" width="29" style="3" customWidth="1"/>
    <col min="21" max="16384" width="8.796875" style="2"/>
  </cols>
  <sheetData>
    <row r="1" spans="1:20" x14ac:dyDescent="0.3">
      <c r="A1" s="1" t="s">
        <v>60</v>
      </c>
      <c r="B1" s="12" t="s">
        <v>1</v>
      </c>
      <c r="C1" s="12"/>
      <c r="D1" s="6" t="s">
        <v>70</v>
      </c>
      <c r="E1" s="6" t="s">
        <v>101</v>
      </c>
      <c r="F1" s="1" t="s">
        <v>54</v>
      </c>
      <c r="G1" s="1" t="s">
        <v>99</v>
      </c>
      <c r="H1" s="1" t="s">
        <v>100</v>
      </c>
      <c r="I1" s="1" t="s">
        <v>98</v>
      </c>
      <c r="J1" s="6" t="s">
        <v>69</v>
      </c>
      <c r="K1" s="6" t="s">
        <v>97</v>
      </c>
      <c r="L1" s="6" t="s">
        <v>94</v>
      </c>
      <c r="M1" s="6" t="s">
        <v>0</v>
      </c>
      <c r="N1" s="1" t="s">
        <v>63</v>
      </c>
      <c r="O1" s="1" t="s">
        <v>61</v>
      </c>
      <c r="P1" s="1" t="s">
        <v>65</v>
      </c>
      <c r="Q1" s="1" t="s">
        <v>62</v>
      </c>
      <c r="R1" s="1" t="s">
        <v>56</v>
      </c>
      <c r="S1" s="1" t="s">
        <v>57</v>
      </c>
      <c r="T1" s="1" t="s">
        <v>58</v>
      </c>
    </row>
    <row r="2" spans="1:20" x14ac:dyDescent="0.3">
      <c r="A2" s="5">
        <v>1</v>
      </c>
      <c r="B2" s="20" t="s">
        <v>2</v>
      </c>
      <c r="C2" s="20"/>
      <c r="D2" s="5" t="s">
        <v>91</v>
      </c>
      <c r="E2" s="5"/>
      <c r="F2" s="5" t="e">
        <f>COUNTIF(#REF!, Meters!B2)</f>
        <v>#REF!</v>
      </c>
      <c r="G2" s="5"/>
      <c r="H2" s="5"/>
      <c r="I2" s="1"/>
      <c r="J2" s="11" t="s">
        <v>91</v>
      </c>
      <c r="K2" s="11"/>
      <c r="L2" s="11"/>
      <c r="M2" s="11" t="s">
        <v>71</v>
      </c>
      <c r="N2" s="1">
        <v>1</v>
      </c>
      <c r="O2" s="1" t="s">
        <v>64</v>
      </c>
      <c r="P2" s="1" t="s">
        <v>66</v>
      </c>
      <c r="Q2" s="1">
        <v>21</v>
      </c>
      <c r="R2" s="1"/>
      <c r="S2" s="1"/>
      <c r="T2" s="1"/>
    </row>
    <row r="3" spans="1:20" x14ac:dyDescent="0.3">
      <c r="A3" s="16">
        <v>2</v>
      </c>
      <c r="B3" s="17" t="s">
        <v>3</v>
      </c>
      <c r="C3" s="17"/>
      <c r="D3" s="16" t="s">
        <v>105</v>
      </c>
      <c r="E3" s="16"/>
      <c r="F3" s="16" t="e">
        <f>COUNTIF(#REF!, Meters!B3)</f>
        <v>#REF!</v>
      </c>
      <c r="G3" s="16">
        <v>2012</v>
      </c>
      <c r="H3" s="16" t="s">
        <v>104</v>
      </c>
      <c r="I3" s="1" t="s">
        <v>75</v>
      </c>
      <c r="J3" s="11" t="s">
        <v>3</v>
      </c>
      <c r="K3" s="11"/>
      <c r="L3" s="11"/>
      <c r="M3" s="11" t="s">
        <v>71</v>
      </c>
      <c r="N3" s="1"/>
      <c r="O3" s="1"/>
      <c r="P3" s="1"/>
      <c r="Q3" s="1"/>
      <c r="R3" s="1"/>
      <c r="S3" s="1"/>
      <c r="T3" s="1"/>
    </row>
    <row r="4" spans="1:20" x14ac:dyDescent="0.3">
      <c r="A4" s="16">
        <v>3</v>
      </c>
      <c r="B4" s="17" t="s">
        <v>4</v>
      </c>
      <c r="C4" s="17"/>
      <c r="D4" s="16" t="s">
        <v>106</v>
      </c>
      <c r="E4" s="16"/>
      <c r="F4" s="16" t="e">
        <f>COUNTIF(#REF!, Meters!B4)</f>
        <v>#REF!</v>
      </c>
      <c r="G4" s="16">
        <v>2012</v>
      </c>
      <c r="H4" s="16" t="s">
        <v>108</v>
      </c>
      <c r="I4" s="1" t="s">
        <v>75</v>
      </c>
      <c r="J4" s="11" t="s">
        <v>4</v>
      </c>
      <c r="K4" s="11"/>
      <c r="L4" s="11"/>
      <c r="M4" s="11" t="s">
        <v>71</v>
      </c>
      <c r="N4" s="1"/>
      <c r="O4" s="1"/>
      <c r="P4" s="1"/>
      <c r="Q4" s="1"/>
      <c r="R4" s="1"/>
      <c r="S4" s="1"/>
      <c r="T4" s="1"/>
    </row>
    <row r="5" spans="1:20" x14ac:dyDescent="0.3">
      <c r="A5" s="4">
        <v>4</v>
      </c>
      <c r="B5" s="14" t="s">
        <v>5</v>
      </c>
      <c r="C5" s="14"/>
      <c r="D5" s="4"/>
      <c r="E5" s="4"/>
      <c r="F5" s="4" t="e">
        <f>COUNTIF(#REF!, Meters!B5)</f>
        <v>#REF!</v>
      </c>
      <c r="G5" s="1"/>
      <c r="H5" s="1"/>
      <c r="I5" s="1"/>
      <c r="J5" s="11" t="s">
        <v>5</v>
      </c>
      <c r="K5" s="11"/>
      <c r="L5" s="11"/>
      <c r="M5" s="11" t="s">
        <v>72</v>
      </c>
      <c r="N5" s="1"/>
      <c r="O5" s="1"/>
      <c r="P5" s="1"/>
      <c r="Q5" s="1"/>
      <c r="R5" s="1"/>
      <c r="S5" s="1"/>
      <c r="T5" s="1"/>
    </row>
    <row r="6" spans="1:20" x14ac:dyDescent="0.3">
      <c r="A6" s="4">
        <v>5</v>
      </c>
      <c r="B6" s="14" t="s">
        <v>6</v>
      </c>
      <c r="C6" s="14"/>
      <c r="D6" s="4"/>
      <c r="E6" s="4"/>
      <c r="F6" s="4" t="e">
        <f>COUNTIF(#REF!, Meters!B6)</f>
        <v>#REF!</v>
      </c>
      <c r="G6" s="1"/>
      <c r="H6" s="1"/>
      <c r="I6" s="1"/>
      <c r="J6" s="11" t="s">
        <v>6</v>
      </c>
      <c r="K6" s="11"/>
      <c r="L6" s="11"/>
      <c r="M6" s="11" t="s">
        <v>71</v>
      </c>
      <c r="N6" s="1"/>
      <c r="O6" s="1"/>
      <c r="P6" s="1"/>
      <c r="Q6" s="1"/>
      <c r="R6" s="1"/>
      <c r="S6" s="1"/>
      <c r="T6" s="1"/>
    </row>
    <row r="7" spans="1:20" x14ac:dyDescent="0.3">
      <c r="A7" s="1">
        <v>6</v>
      </c>
      <c r="B7" s="12" t="s">
        <v>7</v>
      </c>
      <c r="C7" s="12"/>
      <c r="D7" s="1" t="s">
        <v>73</v>
      </c>
      <c r="E7" s="1"/>
      <c r="F7" s="1" t="e">
        <f>COUNTIF(#REF!, Meters!B7)</f>
        <v>#REF!</v>
      </c>
      <c r="G7" s="1"/>
      <c r="H7" s="1"/>
      <c r="I7" s="1"/>
      <c r="J7" s="11" t="s">
        <v>7</v>
      </c>
      <c r="K7" s="11"/>
      <c r="L7" s="11"/>
      <c r="M7" s="11" t="s">
        <v>74</v>
      </c>
      <c r="N7" s="1"/>
      <c r="O7" s="1"/>
      <c r="P7" s="1"/>
      <c r="Q7" s="1"/>
      <c r="R7" s="1"/>
      <c r="S7" s="1"/>
      <c r="T7" s="1"/>
    </row>
    <row r="8" spans="1:20" x14ac:dyDescent="0.3">
      <c r="A8" s="1">
        <v>7</v>
      </c>
      <c r="B8" s="12" t="s">
        <v>8</v>
      </c>
      <c r="C8" s="12"/>
      <c r="D8" s="1"/>
      <c r="E8" s="1"/>
      <c r="F8" s="1" t="e">
        <f>COUNTIF(#REF!, Meters!B8)</f>
        <v>#REF!</v>
      </c>
      <c r="G8" s="1"/>
      <c r="H8" s="1"/>
      <c r="I8" s="1"/>
      <c r="J8" s="11" t="s">
        <v>8</v>
      </c>
      <c r="K8" s="11"/>
      <c r="L8" s="11"/>
      <c r="M8" s="11" t="s">
        <v>71</v>
      </c>
      <c r="N8" s="1"/>
      <c r="O8" s="1"/>
      <c r="P8" s="1"/>
      <c r="Q8" s="1"/>
      <c r="R8" s="1"/>
      <c r="S8" s="1"/>
      <c r="T8" s="1"/>
    </row>
    <row r="9" spans="1:20" x14ac:dyDescent="0.3">
      <c r="A9" s="4">
        <v>8</v>
      </c>
      <c r="B9" s="14" t="s">
        <v>9</v>
      </c>
      <c r="C9" s="14"/>
      <c r="D9" s="4"/>
      <c r="E9" s="4"/>
      <c r="F9" s="4" t="e">
        <f>COUNTIF(#REF!, Meters!B9)</f>
        <v>#REF!</v>
      </c>
      <c r="G9" s="1"/>
      <c r="H9" s="1"/>
      <c r="I9" s="1"/>
      <c r="J9" s="11" t="s">
        <v>9</v>
      </c>
      <c r="K9" s="11"/>
      <c r="L9" s="11"/>
      <c r="M9" s="11" t="s">
        <v>75</v>
      </c>
      <c r="N9" s="1"/>
      <c r="O9" s="1"/>
      <c r="P9" s="1"/>
      <c r="Q9" s="1"/>
      <c r="R9" s="1"/>
      <c r="S9" s="1"/>
      <c r="T9" s="1"/>
    </row>
    <row r="10" spans="1:20" x14ac:dyDescent="0.3">
      <c r="A10" s="1">
        <v>9</v>
      </c>
      <c r="B10" s="12" t="s">
        <v>10</v>
      </c>
      <c r="C10" s="12"/>
      <c r="D10" s="1" t="s">
        <v>76</v>
      </c>
      <c r="E10" s="1"/>
      <c r="F10" s="1" t="e">
        <f>COUNTIF(#REF!, Meters!B10)</f>
        <v>#REF!</v>
      </c>
      <c r="G10" s="1"/>
      <c r="H10" s="1"/>
      <c r="I10" s="1"/>
      <c r="J10" s="11" t="s">
        <v>10</v>
      </c>
      <c r="K10" s="11"/>
      <c r="L10" s="11"/>
      <c r="M10" s="11" t="s">
        <v>75</v>
      </c>
      <c r="N10" s="1"/>
      <c r="O10" s="1"/>
      <c r="P10" s="1"/>
      <c r="Q10" s="1"/>
      <c r="R10" s="1"/>
      <c r="S10" s="1"/>
      <c r="T10" s="1"/>
    </row>
    <row r="11" spans="1:20" x14ac:dyDescent="0.3">
      <c r="A11" s="4">
        <v>10</v>
      </c>
      <c r="B11" s="14" t="s">
        <v>11</v>
      </c>
      <c r="C11" s="14"/>
      <c r="D11" s="4" t="s">
        <v>106</v>
      </c>
      <c r="E11" s="4"/>
      <c r="F11" s="4" t="e">
        <f>COUNTIF(#REF!, Meters!B11)</f>
        <v>#REF!</v>
      </c>
      <c r="G11" s="1">
        <v>2012</v>
      </c>
      <c r="H11" s="1" t="s">
        <v>103</v>
      </c>
      <c r="I11" s="1"/>
      <c r="J11" s="11" t="s">
        <v>4</v>
      </c>
      <c r="K11" s="11" t="s">
        <v>4</v>
      </c>
      <c r="L11" s="11" t="s">
        <v>107</v>
      </c>
      <c r="M11" s="11" t="s">
        <v>71</v>
      </c>
      <c r="N11" s="1">
        <v>1</v>
      </c>
      <c r="O11" s="1"/>
      <c r="P11" s="1"/>
      <c r="Q11" s="1"/>
      <c r="R11" s="1"/>
      <c r="S11" s="1"/>
      <c r="T11" s="1"/>
    </row>
    <row r="12" spans="1:20" x14ac:dyDescent="0.3">
      <c r="A12" s="4">
        <v>11</v>
      </c>
      <c r="B12" s="14" t="s">
        <v>12</v>
      </c>
      <c r="C12" s="14"/>
      <c r="D12" s="4"/>
      <c r="E12" s="4"/>
      <c r="F12" s="4" t="e">
        <f>COUNTIF(#REF!, Meters!B12)</f>
        <v>#REF!</v>
      </c>
      <c r="G12" s="1"/>
      <c r="H12" s="1"/>
      <c r="I12" s="1"/>
      <c r="J12" s="11" t="s">
        <v>12</v>
      </c>
      <c r="K12" s="11"/>
      <c r="L12" s="11"/>
      <c r="M12" s="11" t="s">
        <v>75</v>
      </c>
      <c r="N12" s="1"/>
      <c r="O12" s="1"/>
      <c r="P12" s="1"/>
      <c r="Q12" s="1"/>
      <c r="R12" s="1"/>
      <c r="S12" s="1"/>
      <c r="T12" s="1"/>
    </row>
    <row r="13" spans="1:20" x14ac:dyDescent="0.3">
      <c r="A13" s="4">
        <v>12</v>
      </c>
      <c r="B13" s="14" t="s">
        <v>13</v>
      </c>
      <c r="C13" s="14"/>
      <c r="D13" s="4"/>
      <c r="E13" s="4"/>
      <c r="F13" s="4" t="e">
        <f>COUNTIF(#REF!, Meters!B13)</f>
        <v>#REF!</v>
      </c>
      <c r="G13" s="1"/>
      <c r="H13" s="1"/>
      <c r="I13" s="1"/>
      <c r="J13" s="11" t="s">
        <v>59</v>
      </c>
      <c r="K13" s="11"/>
      <c r="L13" s="11"/>
      <c r="M13" s="11" t="s">
        <v>77</v>
      </c>
      <c r="N13" s="1"/>
      <c r="O13" s="1"/>
      <c r="P13" s="1"/>
      <c r="Q13" s="1"/>
      <c r="R13" s="1"/>
      <c r="S13" s="1"/>
      <c r="T13" s="1"/>
    </row>
    <row r="14" spans="1:20" x14ac:dyDescent="0.3">
      <c r="A14" s="4">
        <v>13</v>
      </c>
      <c r="B14" s="14" t="s">
        <v>14</v>
      </c>
      <c r="C14" s="14"/>
      <c r="D14" s="4"/>
      <c r="E14" s="4"/>
      <c r="F14" s="4" t="e">
        <f>COUNTIF(#REF!, Meters!B14)</f>
        <v>#REF!</v>
      </c>
      <c r="G14" s="1"/>
      <c r="H14" s="1"/>
      <c r="I14" s="1"/>
      <c r="J14" s="11" t="s">
        <v>78</v>
      </c>
      <c r="K14" s="11"/>
      <c r="L14" s="11"/>
      <c r="M14" s="11" t="s">
        <v>79</v>
      </c>
      <c r="N14" s="1"/>
      <c r="O14" s="1"/>
      <c r="P14" s="1"/>
      <c r="Q14" s="1"/>
      <c r="R14" s="1"/>
      <c r="S14" s="1"/>
      <c r="T14" s="1"/>
    </row>
    <row r="15" spans="1:20" x14ac:dyDescent="0.3">
      <c r="A15" s="16">
        <v>14</v>
      </c>
      <c r="B15" s="17" t="s">
        <v>15</v>
      </c>
      <c r="C15" s="17"/>
      <c r="D15" s="16" t="s">
        <v>83</v>
      </c>
      <c r="E15" s="16"/>
      <c r="F15" s="16" t="e">
        <f>COUNTIF(#REF!, Meters!B15)</f>
        <v>#REF!</v>
      </c>
      <c r="G15" s="16">
        <v>2005</v>
      </c>
      <c r="H15" s="16" t="s">
        <v>102</v>
      </c>
      <c r="I15" s="1" t="s">
        <v>75</v>
      </c>
      <c r="J15" s="11" t="s">
        <v>15</v>
      </c>
      <c r="K15" s="11"/>
      <c r="L15" s="11"/>
      <c r="M15" s="11" t="s">
        <v>80</v>
      </c>
      <c r="N15" s="1"/>
      <c r="O15" s="1"/>
      <c r="P15" s="1"/>
      <c r="Q15" s="1"/>
      <c r="R15" s="1"/>
      <c r="S15" s="1"/>
      <c r="T15" s="1"/>
    </row>
    <row r="16" spans="1:20" x14ac:dyDescent="0.3">
      <c r="A16" s="4">
        <v>15</v>
      </c>
      <c r="B16" s="14" t="s">
        <v>16</v>
      </c>
      <c r="C16" s="14"/>
      <c r="D16" s="4"/>
      <c r="E16" s="4"/>
      <c r="F16" s="4" t="e">
        <f>COUNTIF(#REF!, Meters!B16)</f>
        <v>#REF!</v>
      </c>
      <c r="G16" s="1"/>
      <c r="H16" s="1"/>
      <c r="I16" s="1"/>
      <c r="J16" s="11" t="s">
        <v>16</v>
      </c>
      <c r="K16" s="11"/>
      <c r="L16" s="11"/>
      <c r="M16" s="11" t="s">
        <v>79</v>
      </c>
      <c r="N16" s="1"/>
      <c r="O16" s="1"/>
      <c r="P16" s="1"/>
      <c r="Q16" s="1"/>
      <c r="R16" s="1"/>
      <c r="S16" s="1"/>
      <c r="T16" s="1"/>
    </row>
    <row r="17" spans="1:20" x14ac:dyDescent="0.3">
      <c r="A17" s="1">
        <v>16</v>
      </c>
      <c r="B17" s="12" t="s">
        <v>17</v>
      </c>
      <c r="C17" s="12"/>
      <c r="D17" s="1" t="s">
        <v>73</v>
      </c>
      <c r="E17" s="1"/>
      <c r="F17" s="1" t="e">
        <f>COUNTIF(#REF!, Meters!B17)</f>
        <v>#REF!</v>
      </c>
      <c r="G17" s="1"/>
      <c r="H17" s="1"/>
      <c r="I17" s="1"/>
      <c r="J17" s="11" t="s">
        <v>17</v>
      </c>
      <c r="K17" s="11"/>
      <c r="L17" s="11"/>
      <c r="M17" s="11" t="s">
        <v>81</v>
      </c>
      <c r="N17" s="1"/>
      <c r="O17" s="1"/>
      <c r="P17" s="1"/>
      <c r="Q17" s="1"/>
      <c r="R17" s="1"/>
      <c r="S17" s="1"/>
      <c r="T17" s="1"/>
    </row>
    <row r="18" spans="1:20" x14ac:dyDescent="0.3">
      <c r="A18" s="4">
        <v>17</v>
      </c>
      <c r="B18" s="14" t="s">
        <v>18</v>
      </c>
      <c r="C18" s="14"/>
      <c r="D18" s="4"/>
      <c r="E18" s="4"/>
      <c r="F18" s="4" t="e">
        <f>COUNTIF(#REF!, Meters!B18)</f>
        <v>#REF!</v>
      </c>
      <c r="G18" s="1"/>
      <c r="H18" s="1"/>
      <c r="I18" s="1"/>
      <c r="J18" s="11" t="s">
        <v>37</v>
      </c>
      <c r="K18" s="11"/>
      <c r="L18" s="11"/>
      <c r="M18" s="11" t="s">
        <v>79</v>
      </c>
      <c r="N18" s="1"/>
      <c r="O18" s="1"/>
      <c r="P18" s="1"/>
      <c r="Q18" s="1"/>
      <c r="R18" s="1"/>
      <c r="S18" s="1"/>
      <c r="T18" s="1"/>
    </row>
    <row r="19" spans="1:20" x14ac:dyDescent="0.3">
      <c r="A19" s="1">
        <v>18</v>
      </c>
      <c r="B19" s="12" t="s">
        <v>19</v>
      </c>
      <c r="C19" s="12"/>
      <c r="D19" s="1" t="s">
        <v>83</v>
      </c>
      <c r="E19" s="1"/>
      <c r="F19" s="1" t="e">
        <f>COUNTIF(#REF!, Meters!B19)</f>
        <v>#REF!</v>
      </c>
      <c r="G19" s="1"/>
      <c r="H19" s="1"/>
      <c r="I19" s="1"/>
      <c r="J19" s="11" t="s">
        <v>82</v>
      </c>
      <c r="K19" s="11"/>
      <c r="L19" s="11"/>
      <c r="M19" s="11" t="s">
        <v>84</v>
      </c>
      <c r="N19" s="1"/>
      <c r="O19" s="1"/>
      <c r="P19" s="1"/>
      <c r="Q19" s="1"/>
      <c r="R19" s="1"/>
      <c r="S19" s="1"/>
      <c r="T19" s="1"/>
    </row>
    <row r="20" spans="1:20" x14ac:dyDescent="0.3">
      <c r="A20" s="4">
        <v>19</v>
      </c>
      <c r="B20" s="14" t="s">
        <v>20</v>
      </c>
      <c r="C20" s="14"/>
      <c r="D20" s="4"/>
      <c r="E20" s="4"/>
      <c r="F20" s="4" t="e">
        <f>COUNTIF(#REF!, Meters!B20)</f>
        <v>#REF!</v>
      </c>
      <c r="G20" s="1"/>
      <c r="H20" s="1"/>
      <c r="I20" s="1"/>
      <c r="J20" s="11" t="s">
        <v>20</v>
      </c>
      <c r="K20" s="11"/>
      <c r="L20" s="11"/>
      <c r="M20" s="11" t="s">
        <v>79</v>
      </c>
      <c r="N20" s="1"/>
      <c r="O20" s="1"/>
      <c r="P20" s="1"/>
      <c r="Q20" s="1"/>
      <c r="R20" s="1"/>
      <c r="S20" s="1"/>
      <c r="T20" s="1"/>
    </row>
    <row r="21" spans="1:20" x14ac:dyDescent="0.3">
      <c r="A21" s="1">
        <v>20</v>
      </c>
      <c r="B21" s="12" t="s">
        <v>21</v>
      </c>
      <c r="C21" s="12"/>
      <c r="D21" s="1" t="s">
        <v>85</v>
      </c>
      <c r="E21" s="1"/>
      <c r="F21" s="1" t="e">
        <f>COUNTIF(#REF!, Meters!B21)</f>
        <v>#REF!</v>
      </c>
      <c r="G21" s="1"/>
      <c r="H21" s="1"/>
      <c r="I21" s="1"/>
      <c r="J21" s="11" t="s">
        <v>22</v>
      </c>
      <c r="K21" s="11"/>
      <c r="L21" s="11"/>
      <c r="M21" s="11" t="s">
        <v>79</v>
      </c>
      <c r="N21" s="1"/>
      <c r="O21" s="1"/>
      <c r="P21" s="1"/>
      <c r="Q21" s="1"/>
      <c r="R21" s="1"/>
      <c r="S21" s="1"/>
      <c r="T21" s="1"/>
    </row>
    <row r="22" spans="1:20" x14ac:dyDescent="0.3">
      <c r="A22" s="4">
        <v>21</v>
      </c>
      <c r="B22" s="14" t="s">
        <v>22</v>
      </c>
      <c r="C22" s="19"/>
      <c r="D22" s="15"/>
      <c r="E22" s="15"/>
      <c r="F22" s="4" t="e">
        <f>COUNTIF(#REF!, Meters!B22)</f>
        <v>#REF!</v>
      </c>
      <c r="N22" s="1"/>
      <c r="O22" s="1"/>
      <c r="P22" s="1"/>
      <c r="Q22" s="1"/>
      <c r="R22" s="1"/>
      <c r="S22" s="1"/>
      <c r="T22" s="1"/>
    </row>
    <row r="23" spans="1:20" x14ac:dyDescent="0.3">
      <c r="A23" s="4">
        <v>22</v>
      </c>
      <c r="B23" s="14" t="s">
        <v>23</v>
      </c>
      <c r="C23" s="14"/>
      <c r="D23" s="4"/>
      <c r="E23" s="4"/>
      <c r="F23" s="4" t="e">
        <f>COUNTIF(#REF!, Meters!B23)</f>
        <v>#REF!</v>
      </c>
      <c r="G23" s="1"/>
      <c r="H23" s="1"/>
      <c r="I23" s="1"/>
      <c r="J23" s="11" t="s">
        <v>23</v>
      </c>
      <c r="K23" s="11"/>
      <c r="L23" s="11"/>
      <c r="M23" s="11" t="s">
        <v>79</v>
      </c>
      <c r="N23" s="1"/>
      <c r="O23" s="1"/>
      <c r="P23" s="1"/>
      <c r="Q23" s="1"/>
      <c r="R23" s="1"/>
      <c r="S23" s="1"/>
      <c r="T23" s="1"/>
    </row>
    <row r="24" spans="1:20" x14ac:dyDescent="0.3">
      <c r="A24" s="4">
        <v>23</v>
      </c>
      <c r="B24" s="14" t="s">
        <v>24</v>
      </c>
      <c r="C24" s="14"/>
      <c r="D24" s="4"/>
      <c r="E24" s="4"/>
      <c r="F24" s="4" t="e">
        <f>COUNTIF(#REF!, Meters!B24)</f>
        <v>#REF!</v>
      </c>
      <c r="G24" s="1"/>
      <c r="H24" s="1"/>
      <c r="I24" s="1"/>
      <c r="J24" s="11" t="s">
        <v>86</v>
      </c>
      <c r="K24" s="11"/>
      <c r="L24" s="11"/>
      <c r="M24" s="11" t="s">
        <v>79</v>
      </c>
      <c r="N24" s="1"/>
      <c r="O24" s="1"/>
      <c r="P24" s="1"/>
      <c r="Q24" s="1"/>
      <c r="R24" s="1"/>
      <c r="S24" s="1"/>
      <c r="T24" s="1"/>
    </row>
    <row r="25" spans="1:20" x14ac:dyDescent="0.3">
      <c r="A25" s="1">
        <v>24</v>
      </c>
      <c r="B25" s="12" t="s">
        <v>25</v>
      </c>
      <c r="C25" s="12"/>
      <c r="D25" s="1" t="s">
        <v>83</v>
      </c>
      <c r="E25" s="1"/>
      <c r="F25" s="1" t="e">
        <f>COUNTIF(#REF!, Meters!B25)</f>
        <v>#REF!</v>
      </c>
      <c r="G25" s="1"/>
      <c r="H25" s="1"/>
      <c r="I25" s="1"/>
      <c r="J25" s="11" t="s">
        <v>24</v>
      </c>
      <c r="K25" s="11"/>
      <c r="L25" s="11"/>
      <c r="M25" s="11" t="s">
        <v>84</v>
      </c>
      <c r="N25" s="1"/>
      <c r="O25" s="1"/>
      <c r="P25" s="1"/>
      <c r="Q25" s="1"/>
      <c r="R25" s="1"/>
      <c r="S25" s="1"/>
      <c r="T25" s="1"/>
    </row>
    <row r="26" spans="1:20" x14ac:dyDescent="0.3">
      <c r="A26" s="4">
        <v>25</v>
      </c>
      <c r="B26" s="14" t="s">
        <v>26</v>
      </c>
      <c r="C26" s="14"/>
      <c r="D26" s="4"/>
      <c r="E26" s="4"/>
      <c r="F26" s="4" t="e">
        <f>COUNTIF(#REF!, Meters!B26)</f>
        <v>#REF!</v>
      </c>
      <c r="G26" s="1"/>
      <c r="H26" s="1"/>
      <c r="I26" s="1"/>
      <c r="J26" s="11" t="s">
        <v>26</v>
      </c>
      <c r="K26" s="11"/>
      <c r="L26" s="11"/>
      <c r="M26" s="11" t="s">
        <v>75</v>
      </c>
      <c r="N26" s="1"/>
      <c r="O26" s="1"/>
      <c r="P26" s="1"/>
      <c r="Q26" s="1"/>
      <c r="R26" s="1"/>
      <c r="S26" s="1"/>
      <c r="T26" s="1"/>
    </row>
    <row r="27" spans="1:20" x14ac:dyDescent="0.3">
      <c r="A27" s="1">
        <v>26</v>
      </c>
      <c r="B27" s="12" t="s">
        <v>27</v>
      </c>
      <c r="C27" s="12"/>
      <c r="D27" s="1" t="s">
        <v>85</v>
      </c>
      <c r="E27" s="1"/>
      <c r="F27" s="1" t="e">
        <f>COUNTIF(#REF!, Meters!B27)</f>
        <v>#REF!</v>
      </c>
      <c r="G27" s="1"/>
      <c r="H27" s="1"/>
      <c r="I27" s="1"/>
      <c r="J27" s="11" t="s">
        <v>27</v>
      </c>
      <c r="K27" s="11"/>
      <c r="L27" s="11"/>
      <c r="M27" s="11" t="s">
        <v>79</v>
      </c>
      <c r="N27" s="1"/>
      <c r="O27" s="1"/>
      <c r="P27" s="1"/>
      <c r="Q27" s="1"/>
      <c r="R27" s="1"/>
      <c r="S27" s="1"/>
      <c r="T27" s="1"/>
    </row>
    <row r="28" spans="1:20" x14ac:dyDescent="0.3">
      <c r="A28" s="1">
        <v>27</v>
      </c>
      <c r="B28" s="12" t="s">
        <v>28</v>
      </c>
      <c r="C28" s="12"/>
      <c r="D28" s="1" t="s">
        <v>83</v>
      </c>
      <c r="E28" s="1"/>
      <c r="F28" s="1" t="e">
        <f>COUNTIF(#REF!, Meters!B28)</f>
        <v>#REF!</v>
      </c>
      <c r="G28" s="1"/>
      <c r="H28" s="1"/>
      <c r="I28" s="1"/>
      <c r="J28" s="11" t="s">
        <v>87</v>
      </c>
      <c r="K28" s="11"/>
      <c r="L28" s="11"/>
      <c r="M28" s="11" t="s">
        <v>79</v>
      </c>
      <c r="N28" s="1"/>
      <c r="O28" s="1"/>
      <c r="P28" s="1"/>
      <c r="Q28" s="1"/>
      <c r="R28" s="1"/>
      <c r="S28" s="1"/>
      <c r="T28" s="1"/>
    </row>
    <row r="29" spans="1:20" x14ac:dyDescent="0.3">
      <c r="A29" s="1">
        <v>28</v>
      </c>
      <c r="B29" s="12" t="s">
        <v>29</v>
      </c>
      <c r="C29" s="12"/>
      <c r="D29" s="1" t="s">
        <v>83</v>
      </c>
      <c r="E29" s="1"/>
      <c r="F29" s="1" t="e">
        <f>COUNTIF(#REF!, Meters!B29)</f>
        <v>#REF!</v>
      </c>
      <c r="G29" s="1"/>
      <c r="H29" s="1"/>
      <c r="I29" s="1"/>
      <c r="J29" s="11" t="s">
        <v>88</v>
      </c>
      <c r="K29" s="11"/>
      <c r="L29" s="11"/>
      <c r="M29" s="11" t="s">
        <v>79</v>
      </c>
      <c r="N29" s="1"/>
      <c r="O29" s="1"/>
      <c r="P29" s="1"/>
      <c r="Q29" s="1"/>
      <c r="R29" s="1"/>
      <c r="S29" s="1"/>
      <c r="T29" s="1"/>
    </row>
    <row r="30" spans="1:20" x14ac:dyDescent="0.3">
      <c r="A30" s="1">
        <v>29</v>
      </c>
      <c r="B30" s="12" t="s">
        <v>30</v>
      </c>
      <c r="C30" s="12"/>
      <c r="D30" s="1" t="s">
        <v>83</v>
      </c>
      <c r="E30" s="1"/>
      <c r="F30" s="1" t="e">
        <f>COUNTIF(#REF!, Meters!B30)</f>
        <v>#REF!</v>
      </c>
      <c r="G30" s="1"/>
      <c r="H30" s="1"/>
      <c r="I30" s="1"/>
      <c r="J30" s="11" t="s">
        <v>30</v>
      </c>
      <c r="K30" s="11"/>
      <c r="L30" s="11"/>
      <c r="M30" s="11" t="s">
        <v>84</v>
      </c>
      <c r="N30" s="1"/>
      <c r="O30" s="1"/>
      <c r="P30" s="1"/>
      <c r="Q30" s="1"/>
      <c r="R30" s="1"/>
      <c r="S30" s="1"/>
      <c r="T30" s="1"/>
    </row>
    <row r="31" spans="1:20" x14ac:dyDescent="0.3">
      <c r="A31" s="4">
        <v>30</v>
      </c>
      <c r="B31" s="14" t="s">
        <v>31</v>
      </c>
      <c r="C31" s="14"/>
      <c r="D31" s="4"/>
      <c r="E31" s="4"/>
      <c r="F31" s="4" t="e">
        <f>COUNTIF(#REF!, Meters!B31)</f>
        <v>#REF!</v>
      </c>
      <c r="G31" s="1"/>
      <c r="H31" s="1"/>
      <c r="I31" s="1"/>
      <c r="J31" s="11" t="s">
        <v>31</v>
      </c>
      <c r="K31" s="11"/>
      <c r="L31" s="11"/>
      <c r="M31" s="11" t="s">
        <v>75</v>
      </c>
      <c r="N31" s="1"/>
      <c r="O31" s="1"/>
      <c r="P31" s="1"/>
      <c r="Q31" s="1"/>
      <c r="R31" s="1"/>
      <c r="S31" s="1"/>
      <c r="T31" s="1"/>
    </row>
    <row r="32" spans="1:20" x14ac:dyDescent="0.3">
      <c r="A32" s="4">
        <v>31</v>
      </c>
      <c r="B32" s="14" t="s">
        <v>32</v>
      </c>
      <c r="C32" s="19"/>
      <c r="D32" s="15"/>
      <c r="E32" s="15"/>
      <c r="F32" s="4" t="e">
        <f>COUNTIF(#REF!, Meters!B32)</f>
        <v>#REF!</v>
      </c>
      <c r="N32" s="1"/>
      <c r="O32" s="1"/>
      <c r="P32" s="1"/>
      <c r="Q32" s="1"/>
      <c r="R32" s="1"/>
      <c r="S32" s="1"/>
      <c r="T32" s="1"/>
    </row>
    <row r="33" spans="1:20" x14ac:dyDescent="0.3">
      <c r="A33" s="1">
        <v>32</v>
      </c>
      <c r="B33" s="12" t="s">
        <v>33</v>
      </c>
      <c r="C33" s="12"/>
      <c r="D33" s="1" t="s">
        <v>76</v>
      </c>
      <c r="E33" s="1"/>
      <c r="F33" s="1" t="e">
        <f>COUNTIF(#REF!, Meters!B33)</f>
        <v>#REF!</v>
      </c>
      <c r="G33" s="1"/>
      <c r="H33" s="1"/>
      <c r="I33" s="1"/>
      <c r="J33" s="11" t="s">
        <v>89</v>
      </c>
      <c r="K33" s="11"/>
      <c r="L33" s="11"/>
      <c r="M33" s="11" t="s">
        <v>79</v>
      </c>
      <c r="N33" s="1"/>
      <c r="O33" s="1"/>
      <c r="P33" s="1"/>
      <c r="Q33" s="1"/>
      <c r="R33" s="1"/>
      <c r="S33" s="1"/>
      <c r="T33" s="1"/>
    </row>
    <row r="34" spans="1:20" x14ac:dyDescent="0.3">
      <c r="A34" s="4">
        <v>33</v>
      </c>
      <c r="B34" s="14" t="s">
        <v>34</v>
      </c>
      <c r="C34" s="14"/>
      <c r="D34" s="4"/>
      <c r="E34" s="4"/>
      <c r="F34" s="4" t="e">
        <f>COUNTIF(#REF!, Meters!B34)</f>
        <v>#REF!</v>
      </c>
      <c r="G34" s="1"/>
      <c r="H34" s="1"/>
      <c r="I34" s="1"/>
      <c r="J34" s="11" t="s">
        <v>34</v>
      </c>
      <c r="K34" s="11"/>
      <c r="L34" s="11"/>
      <c r="M34" s="11" t="s">
        <v>72</v>
      </c>
      <c r="N34" s="1"/>
      <c r="O34" s="1"/>
      <c r="P34" s="1"/>
      <c r="Q34" s="1"/>
      <c r="R34" s="1"/>
      <c r="S34" s="1"/>
      <c r="T34" s="1"/>
    </row>
    <row r="35" spans="1:20" x14ac:dyDescent="0.3">
      <c r="A35" s="1">
        <v>34</v>
      </c>
      <c r="B35" s="12" t="s">
        <v>35</v>
      </c>
      <c r="C35" s="12"/>
      <c r="D35" s="1" t="s">
        <v>85</v>
      </c>
      <c r="E35" s="1"/>
      <c r="F35" s="1" t="e">
        <f>COUNTIF(#REF!, Meters!B35)</f>
        <v>#REF!</v>
      </c>
      <c r="G35" s="1"/>
      <c r="H35" s="1"/>
      <c r="I35" s="1"/>
      <c r="J35" s="11" t="s">
        <v>35</v>
      </c>
      <c r="K35" s="11"/>
      <c r="L35" s="11"/>
      <c r="M35" s="11" t="s">
        <v>79</v>
      </c>
      <c r="N35" s="1"/>
      <c r="O35" s="1"/>
      <c r="P35" s="1"/>
      <c r="Q35" s="1"/>
      <c r="R35" s="1"/>
      <c r="S35" s="1"/>
      <c r="T35" s="1"/>
    </row>
    <row r="36" spans="1:20" x14ac:dyDescent="0.3">
      <c r="A36" s="4">
        <v>35</v>
      </c>
      <c r="B36" s="14" t="s">
        <v>36</v>
      </c>
      <c r="C36" s="14"/>
      <c r="D36" s="4"/>
      <c r="E36" s="4"/>
      <c r="F36" s="4" t="e">
        <f>COUNTIF(#REF!, Meters!B36)</f>
        <v>#REF!</v>
      </c>
      <c r="G36" s="1"/>
      <c r="H36" s="1"/>
      <c r="I36" s="1"/>
      <c r="J36" s="11" t="s">
        <v>36</v>
      </c>
      <c r="K36" s="11"/>
      <c r="L36" s="11"/>
      <c r="M36" s="11" t="s">
        <v>79</v>
      </c>
      <c r="N36" s="1"/>
      <c r="O36" s="1"/>
      <c r="P36" s="1"/>
      <c r="Q36" s="1"/>
      <c r="R36" s="1"/>
      <c r="S36" s="1"/>
      <c r="T36" s="1"/>
    </row>
    <row r="37" spans="1:20" x14ac:dyDescent="0.3">
      <c r="A37" s="4">
        <v>36</v>
      </c>
      <c r="B37" s="14" t="s">
        <v>37</v>
      </c>
      <c r="C37" s="19"/>
      <c r="D37" s="15"/>
      <c r="E37" s="15"/>
      <c r="F37" s="4" t="e">
        <f>COUNTIF(#REF!, Meters!B37)</f>
        <v>#REF!</v>
      </c>
      <c r="N37" s="1"/>
      <c r="O37" s="1"/>
      <c r="P37" s="1"/>
      <c r="Q37" s="1"/>
      <c r="R37" s="1"/>
      <c r="S37" s="1"/>
      <c r="T37" s="1"/>
    </row>
    <row r="38" spans="1:20" x14ac:dyDescent="0.3">
      <c r="A38" s="16">
        <v>37</v>
      </c>
      <c r="B38" s="17" t="s">
        <v>38</v>
      </c>
      <c r="C38" s="17"/>
      <c r="D38" s="16" t="s">
        <v>109</v>
      </c>
      <c r="E38" s="16"/>
      <c r="F38" s="16" t="e">
        <f>COUNTIF(#REF!, Meters!B38)</f>
        <v>#REF!</v>
      </c>
      <c r="G38" s="16">
        <v>2013</v>
      </c>
      <c r="H38" s="18" t="s">
        <v>67</v>
      </c>
      <c r="I38" s="1" t="s">
        <v>75</v>
      </c>
      <c r="J38" s="11" t="s">
        <v>38</v>
      </c>
      <c r="K38" s="11"/>
      <c r="L38" s="11"/>
      <c r="M38" s="11" t="s">
        <v>75</v>
      </c>
      <c r="N38" s="1"/>
      <c r="O38" s="1"/>
      <c r="P38" s="1" t="s">
        <v>92</v>
      </c>
      <c r="Q38" s="1"/>
      <c r="R38" s="1"/>
      <c r="S38" s="1"/>
      <c r="T38" s="1"/>
    </row>
    <row r="39" spans="1:20" x14ac:dyDescent="0.3">
      <c r="A39" s="4">
        <v>38</v>
      </c>
      <c r="B39" s="14" t="s">
        <v>39</v>
      </c>
      <c r="C39" s="14"/>
      <c r="D39" s="4"/>
      <c r="E39" s="4"/>
      <c r="F39" s="4" t="e">
        <f>COUNTIF(#REF!, Meters!B39)</f>
        <v>#REF!</v>
      </c>
      <c r="G39" s="1"/>
      <c r="H39" s="1"/>
      <c r="I39" s="1"/>
      <c r="J39" s="11" t="s">
        <v>39</v>
      </c>
      <c r="K39" s="11"/>
      <c r="L39" s="11"/>
      <c r="M39" s="11" t="s">
        <v>84</v>
      </c>
      <c r="N39" s="1"/>
      <c r="O39" s="1"/>
      <c r="P39" s="1"/>
      <c r="Q39" s="1"/>
      <c r="R39" s="1"/>
      <c r="S39" s="1"/>
      <c r="T39" s="1"/>
    </row>
    <row r="40" spans="1:20" x14ac:dyDescent="0.3">
      <c r="A40" s="4">
        <v>39</v>
      </c>
      <c r="B40" s="14" t="s">
        <v>40</v>
      </c>
      <c r="C40" s="14"/>
      <c r="D40" s="4"/>
      <c r="E40" s="4"/>
      <c r="F40" s="4" t="e">
        <f>COUNTIF(#REF!, Meters!B40)</f>
        <v>#REF!</v>
      </c>
      <c r="G40" s="1"/>
      <c r="H40" s="1"/>
      <c r="I40" s="1"/>
      <c r="J40" s="11" t="s">
        <v>40</v>
      </c>
      <c r="K40" s="11"/>
      <c r="L40" s="11"/>
      <c r="M40" s="11" t="s">
        <v>72</v>
      </c>
      <c r="N40" s="1"/>
      <c r="O40" s="1"/>
      <c r="P40" s="1"/>
      <c r="Q40" s="1"/>
      <c r="R40" s="1"/>
      <c r="S40" s="1"/>
      <c r="T40" s="1"/>
    </row>
    <row r="41" spans="1:20" x14ac:dyDescent="0.3">
      <c r="A41" s="4">
        <v>40</v>
      </c>
      <c r="B41" s="14" t="s">
        <v>41</v>
      </c>
      <c r="C41" s="14"/>
      <c r="D41" s="4"/>
      <c r="E41" s="4"/>
      <c r="F41" s="4" t="e">
        <f>COUNTIF(#REF!, Meters!B41)</f>
        <v>#REF!</v>
      </c>
      <c r="G41" s="1"/>
      <c r="H41" s="1"/>
      <c r="I41" s="1"/>
      <c r="J41" s="11" t="s">
        <v>41</v>
      </c>
      <c r="K41" s="11"/>
      <c r="L41" s="11"/>
      <c r="M41" s="11" t="s">
        <v>68</v>
      </c>
      <c r="N41" s="1"/>
      <c r="O41" s="1"/>
      <c r="P41" s="1"/>
      <c r="Q41" s="1"/>
      <c r="R41" s="1"/>
      <c r="S41" s="1"/>
      <c r="T41" s="1"/>
    </row>
    <row r="42" spans="1:20" x14ac:dyDescent="0.3">
      <c r="A42" s="4">
        <v>41</v>
      </c>
      <c r="B42" s="14" t="s">
        <v>42</v>
      </c>
      <c r="C42" s="14"/>
      <c r="D42" s="4"/>
      <c r="E42" s="4"/>
      <c r="F42" s="4" t="e">
        <f>COUNTIF(#REF!, Meters!B42)</f>
        <v>#REF!</v>
      </c>
      <c r="G42" s="1"/>
      <c r="H42" s="1"/>
      <c r="I42" s="1"/>
      <c r="J42" s="11" t="s">
        <v>42</v>
      </c>
      <c r="K42" s="11"/>
      <c r="L42" s="11"/>
      <c r="M42" s="11" t="s">
        <v>84</v>
      </c>
      <c r="N42" s="1"/>
      <c r="O42" s="1"/>
      <c r="P42" s="1"/>
      <c r="Q42" s="1"/>
      <c r="R42" s="1"/>
      <c r="S42" s="1"/>
      <c r="T42" s="1"/>
    </row>
    <row r="43" spans="1:20" x14ac:dyDescent="0.3">
      <c r="A43" s="4">
        <v>42</v>
      </c>
      <c r="B43" s="14" t="s">
        <v>43</v>
      </c>
      <c r="C43" s="14"/>
      <c r="D43" s="4"/>
      <c r="E43" s="4"/>
      <c r="F43" s="4" t="e">
        <f>COUNTIF(#REF!, Meters!B43)</f>
        <v>#REF!</v>
      </c>
      <c r="G43" s="1"/>
      <c r="H43" s="1"/>
      <c r="I43" s="1"/>
      <c r="J43" s="11" t="s">
        <v>43</v>
      </c>
      <c r="K43" s="11"/>
      <c r="L43" s="11"/>
      <c r="M43" s="11" t="s">
        <v>75</v>
      </c>
      <c r="N43" s="1"/>
      <c r="O43" s="1"/>
      <c r="P43" s="1"/>
      <c r="Q43" s="1"/>
      <c r="R43" s="1"/>
      <c r="S43" s="1"/>
      <c r="T43" s="1"/>
    </row>
    <row r="44" spans="1:20" x14ac:dyDescent="0.3">
      <c r="A44" s="4">
        <v>43</v>
      </c>
      <c r="B44" s="14" t="s">
        <v>44</v>
      </c>
      <c r="C44" s="14"/>
      <c r="D44" s="4"/>
      <c r="E44" s="4"/>
      <c r="F44" s="4" t="e">
        <f>COUNTIF(#REF!, Meters!B44)</f>
        <v>#REF!</v>
      </c>
      <c r="G44" s="1"/>
      <c r="H44" s="1"/>
      <c r="I44" s="1"/>
      <c r="J44" s="11" t="s">
        <v>44</v>
      </c>
      <c r="K44" s="11"/>
      <c r="L44" s="11"/>
      <c r="M44" s="11" t="s">
        <v>65</v>
      </c>
      <c r="N44" s="1"/>
      <c r="O44" s="1"/>
      <c r="P44" s="1"/>
      <c r="Q44" s="1"/>
      <c r="R44" s="1"/>
      <c r="S44" s="1"/>
      <c r="T44" s="1"/>
    </row>
    <row r="45" spans="1:20" x14ac:dyDescent="0.3">
      <c r="A45" s="4">
        <v>44</v>
      </c>
      <c r="B45" s="14" t="s">
        <v>45</v>
      </c>
      <c r="C45" s="14"/>
      <c r="D45" s="4"/>
      <c r="E45" s="4"/>
      <c r="F45" s="4" t="e">
        <f>COUNTIF(#REF!, Meters!B45)</f>
        <v>#REF!</v>
      </c>
      <c r="G45" s="1"/>
      <c r="H45" s="1"/>
      <c r="I45" s="1"/>
      <c r="J45" s="11" t="s">
        <v>45</v>
      </c>
      <c r="K45" s="11"/>
      <c r="L45" s="11"/>
      <c r="M45" s="11" t="s">
        <v>79</v>
      </c>
      <c r="N45" s="1"/>
      <c r="O45" s="1"/>
      <c r="P45" s="1"/>
      <c r="Q45" s="1"/>
      <c r="R45" s="1"/>
      <c r="S45" s="1"/>
      <c r="T45" s="1"/>
    </row>
    <row r="46" spans="1:20" x14ac:dyDescent="0.3">
      <c r="A46" s="4">
        <v>45</v>
      </c>
      <c r="B46" s="14" t="s">
        <v>46</v>
      </c>
      <c r="C46" s="14"/>
      <c r="D46" s="4"/>
      <c r="E46" s="4"/>
      <c r="F46" s="4" t="e">
        <f>COUNTIF(#REF!, Meters!B46)</f>
        <v>#REF!</v>
      </c>
      <c r="G46" s="1"/>
      <c r="H46" s="1"/>
      <c r="I46" s="1"/>
      <c r="J46" s="11" t="s">
        <v>46</v>
      </c>
      <c r="K46" s="11"/>
      <c r="L46" s="11"/>
      <c r="M46" s="11" t="s">
        <v>72</v>
      </c>
      <c r="N46" s="1"/>
      <c r="O46" s="1"/>
      <c r="P46" s="1"/>
      <c r="Q46" s="1"/>
      <c r="R46" s="1"/>
      <c r="S46" s="1"/>
      <c r="T46" s="1"/>
    </row>
    <row r="47" spans="1:20" x14ac:dyDescent="0.3">
      <c r="A47" s="1">
        <v>46</v>
      </c>
      <c r="B47" s="12" t="s">
        <v>47</v>
      </c>
      <c r="C47" s="12"/>
      <c r="D47" s="1" t="s">
        <v>73</v>
      </c>
      <c r="E47" s="1"/>
      <c r="F47" s="1" t="e">
        <f>COUNTIF(#REF!, Meters!B47)</f>
        <v>#REF!</v>
      </c>
      <c r="G47" s="1"/>
      <c r="H47" s="1"/>
      <c r="I47" s="1"/>
      <c r="J47" s="11" t="s">
        <v>47</v>
      </c>
      <c r="K47" s="11"/>
      <c r="L47" s="11"/>
      <c r="M47" s="11" t="s">
        <v>90</v>
      </c>
      <c r="N47" s="1"/>
      <c r="O47" s="1"/>
      <c r="P47" s="1"/>
      <c r="Q47" s="1"/>
      <c r="R47" s="1"/>
      <c r="S47" s="1"/>
      <c r="T47" s="1"/>
    </row>
    <row r="48" spans="1:20" x14ac:dyDescent="0.3">
      <c r="A48" s="4">
        <v>47</v>
      </c>
      <c r="B48" s="14" t="s">
        <v>48</v>
      </c>
      <c r="C48" s="14"/>
      <c r="D48" s="4"/>
      <c r="E48" s="4"/>
      <c r="F48" s="4" t="e">
        <f>COUNTIF(#REF!, Meters!B48)</f>
        <v>#REF!</v>
      </c>
      <c r="G48" s="1"/>
      <c r="H48" s="1"/>
      <c r="I48" s="1"/>
      <c r="J48" s="11" t="s">
        <v>48</v>
      </c>
      <c r="K48" s="11"/>
      <c r="L48" s="11"/>
      <c r="M48" s="11" t="s">
        <v>75</v>
      </c>
      <c r="N48" s="1"/>
      <c r="O48" s="1"/>
      <c r="P48" s="1"/>
      <c r="Q48" s="1"/>
      <c r="R48" s="1"/>
      <c r="S48" s="1"/>
      <c r="T48" s="1"/>
    </row>
    <row r="49" spans="1:20" x14ac:dyDescent="0.3">
      <c r="A49" s="4">
        <v>48</v>
      </c>
      <c r="B49" s="14" t="s">
        <v>49</v>
      </c>
      <c r="C49" s="14"/>
      <c r="D49" s="4"/>
      <c r="E49" s="4"/>
      <c r="F49" s="4" t="e">
        <f>COUNTIF(#REF!, Meters!B49)</f>
        <v>#REF!</v>
      </c>
      <c r="G49" s="1"/>
      <c r="H49" s="1"/>
      <c r="I49" s="1"/>
      <c r="J49" s="11" t="s">
        <v>49</v>
      </c>
      <c r="K49" s="11"/>
      <c r="L49" s="11"/>
      <c r="M49" s="11" t="s">
        <v>72</v>
      </c>
      <c r="N49" s="1"/>
      <c r="O49" s="1"/>
      <c r="P49" s="1"/>
      <c r="Q49" s="1"/>
      <c r="R49" s="1"/>
      <c r="S49" s="1"/>
      <c r="T49" s="1"/>
    </row>
    <row r="50" spans="1:20" x14ac:dyDescent="0.3">
      <c r="A50" s="4">
        <v>49</v>
      </c>
      <c r="B50" s="14" t="s">
        <v>50</v>
      </c>
      <c r="C50" s="14"/>
      <c r="D50" s="4"/>
      <c r="E50" s="4"/>
      <c r="F50" s="4" t="e">
        <f>COUNTIF(#REF!, Meters!B50)</f>
        <v>#REF!</v>
      </c>
      <c r="G50" s="1"/>
      <c r="H50" s="1"/>
      <c r="I50" s="1"/>
      <c r="J50" s="11" t="s">
        <v>50</v>
      </c>
      <c r="K50" s="11"/>
      <c r="L50" s="11"/>
      <c r="M50" s="11" t="s">
        <v>75</v>
      </c>
      <c r="N50" s="1"/>
      <c r="O50" s="1"/>
      <c r="P50" s="1"/>
      <c r="Q50" s="1"/>
      <c r="R50" s="1"/>
      <c r="S50" s="1"/>
      <c r="T50" s="1"/>
    </row>
    <row r="51" spans="1:20" x14ac:dyDescent="0.3">
      <c r="A51" s="4">
        <v>50</v>
      </c>
      <c r="B51" s="14" t="s">
        <v>51</v>
      </c>
      <c r="C51" s="14"/>
      <c r="D51" s="4"/>
      <c r="E51" s="4"/>
      <c r="F51" s="4" t="e">
        <f>COUNTIF(#REF!, Meters!B51)</f>
        <v>#REF!</v>
      </c>
      <c r="G51" s="1"/>
      <c r="H51" s="1"/>
      <c r="I51" s="1"/>
      <c r="J51" s="11" t="s">
        <v>51</v>
      </c>
      <c r="K51" s="11"/>
      <c r="L51" s="11"/>
      <c r="M51" s="11" t="s">
        <v>79</v>
      </c>
      <c r="N51" s="1"/>
      <c r="O51" s="1"/>
      <c r="P51" s="1"/>
      <c r="Q51" s="1"/>
      <c r="R51" s="1"/>
      <c r="S51" s="1"/>
      <c r="T51" s="1"/>
    </row>
    <row r="52" spans="1:20" x14ac:dyDescent="0.3">
      <c r="A52" s="4">
        <v>51</v>
      </c>
      <c r="B52" s="14" t="s">
        <v>52</v>
      </c>
      <c r="C52" s="14"/>
      <c r="D52" s="4"/>
      <c r="E52" s="4"/>
      <c r="F52" s="4" t="e">
        <f>COUNTIF(#REF!, Meters!B52)</f>
        <v>#REF!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>
        <v>52</v>
      </c>
      <c r="B53" s="14" t="s">
        <v>53</v>
      </c>
      <c r="C53" s="14"/>
      <c r="D53" s="4"/>
      <c r="E53" s="4"/>
      <c r="F53" s="4" t="e">
        <f>COUNTIF(#REF!, Meters!B53)</f>
        <v>#REF!</v>
      </c>
      <c r="G53" s="1"/>
      <c r="H53" s="1"/>
      <c r="I53" s="1"/>
      <c r="J53" s="11" t="s">
        <v>53</v>
      </c>
      <c r="K53" s="11"/>
      <c r="L53" s="11"/>
      <c r="M53" s="11" t="s">
        <v>75</v>
      </c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2" t="s">
        <v>55</v>
      </c>
      <c r="C54" s="12"/>
      <c r="D54" s="1"/>
      <c r="E54" s="1"/>
      <c r="F54" s="1" t="e">
        <f>SUM(F2:F53)</f>
        <v>#REF!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55.2" customHeight="1" x14ac:dyDescent="0.3"/>
    <row r="56" spans="1:20" ht="36.6" customHeight="1" x14ac:dyDescent="0.3">
      <c r="J56" s="8" t="s">
        <v>96</v>
      </c>
      <c r="K56" s="8"/>
      <c r="L56" s="8"/>
    </row>
    <row r="57" spans="1:20" ht="42.6" customHeight="1" x14ac:dyDescent="0.3">
      <c r="J57" s="7" t="s">
        <v>93</v>
      </c>
      <c r="K57" s="9"/>
      <c r="L57" s="9"/>
    </row>
    <row r="58" spans="1:20" ht="25.2" customHeight="1" x14ac:dyDescent="0.3">
      <c r="J58" s="1" t="s">
        <v>1</v>
      </c>
    </row>
    <row r="59" spans="1:20" ht="25.2" customHeight="1" x14ac:dyDescent="0.3">
      <c r="J59" s="1" t="s">
        <v>95</v>
      </c>
    </row>
    <row r="60" spans="1:20" ht="25.2" customHeight="1" x14ac:dyDescent="0.3">
      <c r="J60" s="1" t="s">
        <v>94</v>
      </c>
    </row>
    <row r="61" spans="1:20" ht="39.6" customHeight="1" x14ac:dyDescent="0.3">
      <c r="J61" s="10"/>
      <c r="K61" s="10"/>
      <c r="L61" s="10"/>
    </row>
  </sheetData>
  <autoFilter ref="A1:T54" xr:uid="{4826AAE8-DB7F-4D51-B5A6-5059F3E461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Munkhsaikhan Rinchinkhorol</dc:creator>
  <cp:lastModifiedBy>Munkhsaikhan Rinchinkhorol</cp:lastModifiedBy>
  <dcterms:created xsi:type="dcterms:W3CDTF">2026-08-10T06:42:09Z</dcterms:created>
  <dcterms:modified xsi:type="dcterms:W3CDTF">2026-08-10T06:42:30Z</dcterms:modified>
</cp:coreProperties>
</file>